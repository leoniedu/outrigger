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tação OC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<sst xmlns="http://schemas.openxmlformats.org/spreadsheetml/2006/main" count="63" uniqueCount="33">
  <si>
    <t xml:space="preserve">TRIPULAÇÃO</t>
  </si>
  <si>
    <t xml:space="preserve">CICLO DE ROTAÇÃO</t>
  </si>
  <si>
    <t xml:space="preserve">Remador</t>
  </si>
  <si>
    <t xml:space="preserve">Peso (kg)</t>
  </si>
  <si>
    <t xml:space="preserve">Banco</t>
  </si>
  <si>
    <t xml:space="preserve">Turno 1</t>
  </si>
  <si>
    <t xml:space="preserve">Turno 2</t>
  </si>
  <si>
    <t xml:space="preserve">Turno 3</t>
  </si>
  <si>
    <t xml:space="preserve">Eduardo</t>
  </si>
  <si>
    <t xml:space="preserve">Banco 1 (Proa)</t>
  </si>
  <si>
    <t xml:space="preserve">Vitor</t>
  </si>
  <si>
    <t xml:space="preserve">Guilherme</t>
  </si>
  <si>
    <t xml:space="preserve">Banco 2</t>
  </si>
  <si>
    <t xml:space="preserve">Banco 3</t>
  </si>
  <si>
    <t xml:space="preserve">Ricardo</t>
  </si>
  <si>
    <t xml:space="preserve">Everson</t>
  </si>
  <si>
    <t xml:space="preserve">Banco 4</t>
  </si>
  <si>
    <t xml:space="preserve">Airton</t>
  </si>
  <si>
    <t xml:space="preserve">Banco 5</t>
  </si>
  <si>
    <t xml:space="preserve">Marcelo</t>
  </si>
  <si>
    <t xml:space="preserve">Sergio</t>
  </si>
  <si>
    <t xml:space="preserve">Banco 6 (Popa)</t>
  </si>
  <si>
    <t xml:space="preserve">Zé</t>
  </si>
  <si>
    <t xml:space="preserve">ESTATÍSTICAS</t>
  </si>
  <si>
    <t xml:space="preserve">Métrica</t>
  </si>
  <si>
    <t xml:space="preserve">Média</t>
  </si>
  <si>
    <t xml:space="preserve">Peso Total (kg)</t>
  </si>
  <si>
    <t xml:space="preserve">Trim (kg-m)</t>
  </si>
  <si>
    <t xml:space="preserve">MOI (kg-m²)</t>
  </si>
  <si>
    <t xml:space="preserve">Legenda:</t>
  </si>
  <si>
    <t xml:space="preserve">• Trim: positivo = popa pesada, negativo = proa pesada</t>
  </si>
  <si>
    <t xml:space="preserve">• MOI: menor = peso no centro (mais estável)</t>
  </si>
  <si>
    <t xml:space="preserve">• Posições: Proa = -2.5m, Centro = 0m, Popa = +2.5m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</si>
</sst>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.00"/>
    <numFmt numFmtId="167" formatCode="\+0.0;\-0.0;0"/>
    <numFmt numFmtId="168" formatCode="0.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C9211E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CCE5FF"/>
        <bgColor rgb="FFCCFFFF"/>
      </patternFill>
    </fill>
    <fill>
      <patternFill patternType="solid">
        <fgColor rgb="FFCCFFCC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E5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F7" activeCellId="0" sqref="F7"/>
    </sheetView>
  </sheetViews>
  <sheetFormatPr defaultColWidth="8.50781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16"/>
    <col collapsed="false" customWidth="true" hidden="false" outlineLevel="0" max="8" min="5" style="0" width="12"/>
    <col collapsed="false" customWidth="true" hidden="false" outlineLevel="0" max="9" min="9" style="0" width="14.82"/>
    <col collapsed="false" customWidth="true" hidden="true" outlineLevel="0" max="12" min="11" style="0" width="13"/>
  </cols>
  <sheetData>
    <row r="1" customFormat="false" ht="17.35" hidden="false" customHeight="false" outlineLevel="0" collapsed="false">
      <c r="A1" s="1" t="s">
        <v>0</v>
      </c>
      <c r="B1" s="1"/>
      <c r="E1" s="1" t="s">
        <v>1</v>
      </c>
      <c r="F1" s="1"/>
      <c r="G1" s="1"/>
    </row>
    <row r="2" customFormat="false" ht="15" hidden="false" customHeight="false" outlineLevel="0" collapsed="false">
      <c r="A2" s="2" t="s">
        <v>2</v>
      </c>
      <c r="B2" s="2" t="s">
        <v>3</v>
      </c>
      <c r="D2" s="3" t="s">
        <v>4</v>
      </c>
      <c r="E2" s="4" t="s">
        <v>5</v>
      </c>
      <c r="F2" s="4" t="s">
        <v>6</v>
      </c>
      <c r="G2" s="4" t="s">
        <v>7</v>
      </c>
      <c r="H2" s="5" t="str">
        <f aca="false">E2</f>
        <v>Turno 1</v>
      </c>
      <c r="I2" s="5" t="str">
        <f aca="false">F2</f>
        <v>Turno 2</v>
      </c>
    </row>
    <row r="3" customFormat="false" ht="15" hidden="false" customHeight="false" outlineLevel="0" collapsed="false">
      <c r="A3" s="6" t="s">
        <v>8</v>
      </c>
      <c r="B3" s="6" t="n">
        <v>73</v>
      </c>
      <c r="D3" s="7" t="s">
        <v>9</v>
      </c>
      <c r="E3" s="8" t="s">
        <v>10</v>
      </c>
      <c r="F3" s="8" t="s">
        <v>11</v>
      </c>
      <c r="G3" s="8" t="s">
        <v>8</v>
      </c>
      <c r="H3" s="8" t="str">
        <f aca="false">E3</f>
        <v>Vitor</v>
      </c>
      <c r="I3" s="8" t="str">
        <f aca="false">F3</f>
        <v>Guilherme</v>
      </c>
      <c r="K3" s="9" t="s">
        <v>8</v>
      </c>
      <c r="L3" s="0" t="n">
        <v>73</v>
      </c>
    </row>
    <row r="4" customFormat="false" ht="15" hidden="false" customHeight="false" outlineLevel="0" collapsed="false">
      <c r="A4" s="6" t="s">
        <v>11</v>
      </c>
      <c r="B4" s="6" t="n">
        <v>89</v>
      </c>
      <c r="D4" s="7" t="s">
        <v>12</v>
      </c>
      <c r="E4" s="8" t="s">
        <v>11</v>
      </c>
      <c r="F4" s="8" t="s">
        <v>8</v>
      </c>
      <c r="G4" s="8" t="s">
        <v>10</v>
      </c>
      <c r="H4" s="8" t="str">
        <f aca="false">E4</f>
        <v>Guilherme</v>
      </c>
      <c r="I4" s="8" t="str">
        <f aca="false">F4</f>
        <v>Eduardo</v>
      </c>
      <c r="K4" s="9" t="s">
        <v>11</v>
      </c>
      <c r="L4" s="0" t="n">
        <v>89</v>
      </c>
    </row>
    <row r="5" customFormat="false" ht="15" hidden="false" customHeight="false" outlineLevel="0" collapsed="false">
      <c r="A5" s="6" t="s">
        <v>10</v>
      </c>
      <c r="B5" s="6" t="n">
        <v>78</v>
      </c>
      <c r="D5" s="7" t="s">
        <v>13</v>
      </c>
      <c r="E5" s="8" t="s">
        <v>14</v>
      </c>
      <c r="F5" s="8" t="s">
        <v>14</v>
      </c>
      <c r="G5" s="8" t="s">
        <v>15</v>
      </c>
      <c r="H5" s="8" t="str">
        <f aca="false">E5</f>
        <v>Ricardo</v>
      </c>
      <c r="I5" s="8" t="str">
        <f aca="false">F5</f>
        <v>Ricardo</v>
      </c>
      <c r="K5" s="9" t="s">
        <v>10</v>
      </c>
      <c r="L5" s="0" t="n">
        <v>78</v>
      </c>
    </row>
    <row r="6" customFormat="false" ht="15" hidden="false" customHeight="false" outlineLevel="0" collapsed="false">
      <c r="A6" s="6" t="s">
        <v>14</v>
      </c>
      <c r="B6" s="6" t="n">
        <v>95</v>
      </c>
      <c r="D6" s="7" t="s">
        <v>16</v>
      </c>
      <c r="E6" s="8" t="s">
        <v>15</v>
      </c>
      <c r="F6" s="8" t="s">
        <v>17</v>
      </c>
      <c r="G6" s="8" t="s">
        <v>17</v>
      </c>
      <c r="H6" s="8" t="str">
        <f aca="false">E6</f>
        <v>Everson</v>
      </c>
      <c r="I6" s="8" t="str">
        <f aca="false">F6</f>
        <v>Airton</v>
      </c>
      <c r="K6" s="9" t="s">
        <v>14</v>
      </c>
      <c r="L6" s="0" t="n">
        <v>95</v>
      </c>
    </row>
    <row r="7" customFormat="false" ht="15" hidden="false" customHeight="false" outlineLevel="0" collapsed="false">
      <c r="A7" s="6" t="s">
        <v>17</v>
      </c>
      <c r="B7" s="6" t="n">
        <v>95</v>
      </c>
      <c r="D7" s="7" t="s">
        <v>18</v>
      </c>
      <c r="E7" s="8" t="s">
        <v>19</v>
      </c>
      <c r="F7" s="8" t="s">
        <v>20</v>
      </c>
      <c r="G7" s="8" t="s">
        <v>20</v>
      </c>
      <c r="H7" s="8" t="str">
        <f aca="false">E7</f>
        <v>Marcelo</v>
      </c>
      <c r="I7" s="8" t="str">
        <f aca="false">F7</f>
        <v>Sergio</v>
      </c>
      <c r="K7" s="9" t="s">
        <v>17</v>
      </c>
      <c r="L7" s="0" t="n">
        <v>95</v>
      </c>
    </row>
    <row r="8" customFormat="false" ht="15" hidden="false" customHeight="false" outlineLevel="0" collapsed="false">
      <c r="A8" s="6" t="s">
        <v>15</v>
      </c>
      <c r="B8" s="6" t="n">
        <v>75</v>
      </c>
      <c r="D8" s="7" t="s">
        <v>21</v>
      </c>
      <c r="E8" s="8" t="s">
        <v>22</v>
      </c>
      <c r="F8" s="8" t="s">
        <v>19</v>
      </c>
      <c r="G8" s="8" t="s">
        <v>22</v>
      </c>
      <c r="H8" s="8" t="str">
        <f aca="false">E8</f>
        <v>Zé</v>
      </c>
      <c r="I8" s="8" t="str">
        <f aca="false">F8</f>
        <v>Marcelo</v>
      </c>
      <c r="K8" s="9" t="s">
        <v>15</v>
      </c>
      <c r="L8" s="0" t="n">
        <v>75</v>
      </c>
    </row>
    <row r="9" customFormat="false" ht="15" hidden="false" customHeight="false" outlineLevel="0" collapsed="false">
      <c r="A9" s="6" t="s">
        <v>20</v>
      </c>
      <c r="B9" s="6" t="n">
        <v>75</v>
      </c>
      <c r="K9" s="0" t="s">
        <v>20</v>
      </c>
      <c r="L9" s="0" t="n">
        <v>75</v>
      </c>
    </row>
    <row r="10" customFormat="false" ht="15" hidden="false" customHeight="false" outlineLevel="0" collapsed="false">
      <c r="A10" s="6" t="s">
        <v>19</v>
      </c>
      <c r="B10" s="6" t="n">
        <v>97</v>
      </c>
      <c r="K10" s="0" t="s">
        <v>19</v>
      </c>
      <c r="L10" s="0" t="n">
        <v>97</v>
      </c>
    </row>
    <row r="11" customFormat="false" ht="17.35" hidden="false" customHeight="false" outlineLevel="0" collapsed="false">
      <c r="A11" s="6" t="s">
        <v>22</v>
      </c>
      <c r="B11" s="6" t="n">
        <v>78</v>
      </c>
      <c r="D11" s="1" t="s">
        <v>23</v>
      </c>
      <c r="E11" s="1"/>
      <c r="F11" s="1"/>
      <c r="G11" s="1"/>
      <c r="K11" s="9" t="s">
        <v>22</v>
      </c>
      <c r="L11" s="0" t="n">
        <v>78</v>
      </c>
    </row>
    <row r="12" customFormat="false" ht="15" hidden="false" customHeight="false" outlineLevel="0" collapsed="false">
      <c r="D12" s="10" t="s">
        <v>24</v>
      </c>
      <c r="E12" s="10" t="s">
        <v>5</v>
      </c>
      <c r="F12" s="10" t="s">
        <v>6</v>
      </c>
      <c r="G12" s="10" t="s">
        <v>7</v>
      </c>
      <c r="H12" s="10" t="s">
        <v>25</v>
      </c>
    </row>
    <row r="13" customFormat="false" ht="15" hidden="false" customHeight="false" outlineLevel="0" collapsed="false">
      <c r="D13" s="6" t="s">
        <v>26</v>
      </c>
      <c r="E13" s="11" t="n">
        <f aca="false">IFERROR(VLOOKUP(E3,$K$3:$L$11,2,FALSE()),0)+IFERROR(VLOOKUP(E4,$K$3:$L$11,2,FALSE()),0)+IFERROR(VLOOKUP(E5,$K$3:$L$11,2,FALSE()),0)+IFERROR(VLOOKUP(E6,$K$3:$L$11,2,FALSE()),0)+IFERROR(VLOOKUP(E7,$K$3:$L$11,2,FALSE()),0)+IFERROR(VLOOKUP(E8,$K$3:$L$11,2,FALSE()),0)</f>
        <v>512</v>
      </c>
      <c r="F13" s="11" t="n">
        <f aca="false">IFERROR(VLOOKUP(F3,$K$3:$L$11,2,FALSE()),0)+IFERROR(VLOOKUP(F4,$K$3:$L$11,2,FALSE()),0)+IFERROR(VLOOKUP(F5,$K$3:$L$11,2,FALSE()),0)+IFERROR(VLOOKUP(F6,$K$3:$L$11,2,FALSE()),0)+IFERROR(VLOOKUP(F7,$K$3:$L$11,2,FALSE()),0)+IFERROR(VLOOKUP(F8,$K$3:$L$11,2,FALSE()),0)</f>
        <v>524</v>
      </c>
      <c r="G13" s="11" t="n">
        <f aca="false">IFERROR(VLOOKUP(G3,$K$3:$L$11,2,FALSE()),0)+IFERROR(VLOOKUP(G4,$K$3:$L$11,2,FALSE()),0)+IFERROR(VLOOKUP(G5,$K$3:$L$11,2,FALSE()),0)+IFERROR(VLOOKUP(G6,$K$3:$L$11,2,FALSE()),0)+IFERROR(VLOOKUP(G7,$K$3:$L$11,2,FALSE()),0)+IFERROR(VLOOKUP(G8,$K$3:$L$11,2,FALSE()),0)</f>
        <v>474</v>
      </c>
      <c r="H13" s="12" t="n">
        <f aca="false">AVERAGE(E13:G13)</f>
        <v>503.333333333333</v>
      </c>
    </row>
    <row r="14" customFormat="false" ht="15" hidden="false" customHeight="false" outlineLevel="0" collapsed="false">
      <c r="D14" s="6" t="s">
        <v>27</v>
      </c>
      <c r="E14" s="13" t="n">
        <f aca="false">IFERROR(VLOOKUP(E3,$K$3:$L$11,2,FALSE()),0)*-2.5+IFERROR(VLOOKUP(E4,$K$3:$L$11,2,FALSE()),0)*-1.5+IFERROR(VLOOKUP(E5,$K$3:$L$11,2,FALSE()),0)*-0.5+IFERROR(VLOOKUP(E6,$K$3:$L$11,2,FALSE()),0)*0.5+IFERROR(VLOOKUP(E7,$K$3:$L$11,2,FALSE()),0)*1.5+IFERROR(VLOOKUP(E8,$K$3:$L$11,2,FALSE()),0)*2.5</f>
        <v>2</v>
      </c>
      <c r="F14" s="13" t="n">
        <f aca="false">IFERROR(VLOOKUP(F3,$K$3:$L$11,2,FALSE()),0)*-2.5+IFERROR(VLOOKUP(F4,$K$3:$L$11,2,FALSE()),0)*-1.5+IFERROR(VLOOKUP(F5,$K$3:$L$11,2,FALSE()),0)*-0.5+IFERROR(VLOOKUP(F6,$K$3:$L$11,2,FALSE()),0)*0.5+IFERROR(VLOOKUP(F7,$K$3:$L$11,2,FALSE()),0)*1.5+IFERROR(VLOOKUP(F8,$K$3:$L$11,2,FALSE()),0)*2.5</f>
        <v>23</v>
      </c>
      <c r="G14" s="13" t="n">
        <f aca="false">IFERROR(VLOOKUP(G3,$K$3:$L$11,2,FALSE()),0)*-2.5+IFERROR(VLOOKUP(G4,$K$3:$L$11,2,FALSE()),0)*-1.5+IFERROR(VLOOKUP(G5,$K$3:$L$11,2,FALSE()),0)*-0.5+IFERROR(VLOOKUP(G6,$K$3:$L$11,2,FALSE()),0)*0.5+IFERROR(VLOOKUP(G7,$K$3:$L$11,2,FALSE()),0)*1.5+IFERROR(VLOOKUP(G8,$K$3:$L$11,2,FALSE()),0)*2.5</f>
        <v>18</v>
      </c>
      <c r="H14" s="12" t="n">
        <f aca="false">AVERAGE(E14:G14)</f>
        <v>14.3333333333333</v>
      </c>
    </row>
    <row r="15" customFormat="false" ht="15" hidden="false" customHeight="false" outlineLevel="0" collapsed="false">
      <c r="D15" s="6" t="s">
        <v>28</v>
      </c>
      <c r="E15" s="14" t="n">
        <f aca="false">IFERROR(VLOOKUP(E3,$K$3:$L$11,2,FALSE()),0)*6.25+IFERROR(VLOOKUP(E4,$K$3:$L$11,2,FALSE()),0)*2.25+IFERROR(VLOOKUP(E5,$K$3:$L$11,2,FALSE()),0)*0.25+IFERROR(VLOOKUP(E6,$K$3:$L$11,2,FALSE()),0)*0.25+IFERROR(VLOOKUP(E7,$K$3:$L$11,2,FALSE()),0)*2.25+IFERROR(VLOOKUP(E8,$K$3:$L$11,2,FALSE()),0)*6.25</f>
        <v>1436</v>
      </c>
      <c r="F15" s="14" t="n">
        <f aca="false">IFERROR(VLOOKUP(F3,$K$3:$L$11,2,FALSE()),0)*6.25+IFERROR(VLOOKUP(F4,$K$3:$L$11,2,FALSE()),0)*2.25+IFERROR(VLOOKUP(F5,$K$3:$L$11,2,FALSE()),0)*0.25+IFERROR(VLOOKUP(F6,$K$3:$L$11,2,FALSE()),0)*0.25+IFERROR(VLOOKUP(F7,$K$3:$L$11,2,FALSE()),0)*2.25+IFERROR(VLOOKUP(F8,$K$3:$L$11,2,FALSE()),0)*6.25</f>
        <v>1543</v>
      </c>
      <c r="G15" s="14" t="n">
        <f aca="false">IFERROR(VLOOKUP(G3,$K$3:$L$11,2,FALSE()),0)*6.25+IFERROR(VLOOKUP(G4,$K$3:$L$11,2,FALSE()),0)*2.25+IFERROR(VLOOKUP(G5,$K$3:$L$11,2,FALSE()),0)*0.25+IFERROR(VLOOKUP(G6,$K$3:$L$11,2,FALSE()),0)*0.25+IFERROR(VLOOKUP(G7,$K$3:$L$11,2,FALSE()),0)*2.25+IFERROR(VLOOKUP(G8,$K$3:$L$11,2,FALSE()),0)*6.25</f>
        <v>1330.5</v>
      </c>
      <c r="H15" s="12" t="n">
        <f aca="false">AVERAGE(E15:G15)</f>
        <v>1436.5</v>
      </c>
    </row>
    <row r="17" customFormat="false" ht="15" hidden="false" customHeight="false" outlineLevel="0" collapsed="false">
      <c r="A17" s="15" t="s">
        <v>29</v>
      </c>
    </row>
    <row r="18" customFormat="false" ht="15" hidden="false" customHeight="false" outlineLevel="0" collapsed="false">
      <c r="A18" s="0" t="s">
        <v>30</v>
      </c>
    </row>
    <row r="19" customFormat="false" ht="15" hidden="false" customHeight="false" outlineLevel="0" collapsed="false">
      <c r="A19" s="0" t="s">
        <v>31</v>
      </c>
    </row>
    <row r="20" customFormat="false" ht="15" hidden="false" customHeight="false" outlineLevel="0" collapsed="false">
      <c r="A20" s="0" t="s">
        <v>32</v>
      </c>
    </row>
  </sheetData>
  <mergeCells count="3">
    <mergeCell ref="A1:B1"/>
    <mergeCell ref="E1:G1"/>
    <mergeCell ref="D11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2215</TotalTime>
  <Application>LibreOffice/24.2.2.2$MacOSX_X86_64 LibreOffice_project/d56cc158d8a96260b836f100ef4b4ef25d6f1a01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2026-01-17T21:57:14Z</dcterms:created>
  <dc:creator>openpyxl</dc:creator>
  <dc:description/>
  <dc:language>pt-BR</dc:language>
  <cp:lastModifiedBy/>
  <dcterms:modified xsi:type="dcterms:W3CDTF">2026-01-19T08:18:22Z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