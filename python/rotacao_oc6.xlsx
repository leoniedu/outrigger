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ção OC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;-0.0;0"/>
    <numFmt numFmtId="165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CE5FF"/>
        <bgColor rgb="00CCE5FF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hidden="1" width="13" customWidth="1" min="10" max="10"/>
    <col hidden="1" width="13" customWidth="1" min="11" max="11"/>
  </cols>
  <sheetData>
    <row r="1">
      <c r="A1" s="1" t="inlineStr">
        <is>
          <t>TRIPULAÇÃO</t>
        </is>
      </c>
      <c r="D1" s="1" t="inlineStr">
        <is>
          <t>CICLO DE ROTAÇÃO</t>
        </is>
      </c>
    </row>
    <row r="2">
      <c r="A2" s="2" t="inlineStr">
        <is>
          <t>Remador</t>
        </is>
      </c>
      <c r="B2" s="2" t="inlineStr">
        <is>
          <t>Peso (kg)</t>
        </is>
      </c>
      <c r="C2" s="3" t="inlineStr">
        <is>
          <t>Banco</t>
        </is>
      </c>
      <c r="D2" s="4" t="inlineStr">
        <is>
          <t>Turno 1</t>
        </is>
      </c>
      <c r="E2" s="4" t="inlineStr">
        <is>
          <t>Turno 2</t>
        </is>
      </c>
      <c r="F2" s="4" t="inlineStr">
        <is>
          <t>Turno 3</t>
        </is>
      </c>
    </row>
    <row r="3">
      <c r="A3" s="5" t="inlineStr">
        <is>
          <t>Eduardo</t>
        </is>
      </c>
      <c r="B3" s="5" t="n">
        <v>73</v>
      </c>
      <c r="C3" s="6" t="inlineStr">
        <is>
          <t>Banco 1 (Proa)</t>
        </is>
      </c>
      <c r="D3" s="7" t="inlineStr">
        <is>
          <t>Everson</t>
        </is>
      </c>
      <c r="E3" s="7" t="inlineStr">
        <is>
          <t>Eduardo</t>
        </is>
      </c>
      <c r="F3" s="7" t="inlineStr">
        <is>
          <t>Guilherme</t>
        </is>
      </c>
      <c r="J3" t="inlineStr">
        <is>
          <t>Eduardo</t>
        </is>
      </c>
      <c r="K3" t="n">
        <v>73</v>
      </c>
    </row>
    <row r="4">
      <c r="A4" s="5" t="inlineStr">
        <is>
          <t>Guilherme</t>
        </is>
      </c>
      <c r="B4" s="5" t="n">
        <v>89</v>
      </c>
      <c r="C4" s="6" t="inlineStr">
        <is>
          <t>Banco 2</t>
        </is>
      </c>
      <c r="D4" s="7" t="inlineStr">
        <is>
          <t>Eduardo</t>
        </is>
      </c>
      <c r="E4" s="7" t="inlineStr">
        <is>
          <t>Guilherme</t>
        </is>
      </c>
      <c r="F4" s="7" t="inlineStr">
        <is>
          <t>Everson</t>
        </is>
      </c>
      <c r="J4" t="inlineStr">
        <is>
          <t>Guilherme</t>
        </is>
      </c>
      <c r="K4" t="n">
        <v>89</v>
      </c>
    </row>
    <row r="5">
      <c r="A5" s="5" t="inlineStr">
        <is>
          <t>Vitor</t>
        </is>
      </c>
      <c r="B5" s="5" t="n">
        <v>78</v>
      </c>
      <c r="C5" s="6" t="inlineStr">
        <is>
          <t>Banco 3</t>
        </is>
      </c>
      <c r="D5" s="7" t="inlineStr">
        <is>
          <t>Airton</t>
        </is>
      </c>
      <c r="E5" s="7" t="inlineStr">
        <is>
          <t>Airton</t>
        </is>
      </c>
      <c r="F5" s="7" t="inlineStr">
        <is>
          <t>Ricardo</t>
        </is>
      </c>
      <c r="J5" t="inlineStr">
        <is>
          <t>Vitor</t>
        </is>
      </c>
      <c r="K5" t="n">
        <v>78</v>
      </c>
    </row>
    <row r="6">
      <c r="A6" s="5" t="inlineStr">
        <is>
          <t>Ricardo</t>
        </is>
      </c>
      <c r="B6" s="5" t="n">
        <v>95</v>
      </c>
      <c r="C6" s="6" t="inlineStr">
        <is>
          <t>Banco 4</t>
        </is>
      </c>
      <c r="D6" s="7" t="inlineStr">
        <is>
          <t>Ricardo</t>
        </is>
      </c>
      <c r="E6" s="7" t="inlineStr">
        <is>
          <t>Sergio</t>
        </is>
      </c>
      <c r="F6" s="7" t="inlineStr">
        <is>
          <t>Sergio</t>
        </is>
      </c>
      <c r="J6" t="inlineStr">
        <is>
          <t>Ricardo</t>
        </is>
      </c>
      <c r="K6" t="n">
        <v>95</v>
      </c>
    </row>
    <row r="7">
      <c r="A7" s="5" t="inlineStr">
        <is>
          <t>Airton</t>
        </is>
      </c>
      <c r="B7" s="5" t="n">
        <v>95</v>
      </c>
      <c r="C7" s="6" t="inlineStr">
        <is>
          <t>Banco 5</t>
        </is>
      </c>
      <c r="D7" s="7" t="inlineStr">
        <is>
          <t>Marcelo</t>
        </is>
      </c>
      <c r="E7" s="7" t="inlineStr">
        <is>
          <t>Vitor</t>
        </is>
      </c>
      <c r="F7" s="7" t="inlineStr">
        <is>
          <t>Airton</t>
        </is>
      </c>
      <c r="J7" t="inlineStr">
        <is>
          <t>Airton</t>
        </is>
      </c>
      <c r="K7" t="n">
        <v>95</v>
      </c>
    </row>
    <row r="8">
      <c r="A8" s="5" t="inlineStr">
        <is>
          <t>Everson</t>
        </is>
      </c>
      <c r="B8" s="5" t="n">
        <v>75</v>
      </c>
      <c r="C8" s="6" t="inlineStr">
        <is>
          <t>Banco 6 (Popa)</t>
        </is>
      </c>
      <c r="D8" s="7" t="inlineStr">
        <is>
          <t>Vitor</t>
        </is>
      </c>
      <c r="E8" s="7" t="inlineStr">
        <is>
          <t>Zé</t>
        </is>
      </c>
      <c r="F8" s="7" t="inlineStr">
        <is>
          <t>Zé</t>
        </is>
      </c>
      <c r="J8" t="inlineStr">
        <is>
          <t>Everson</t>
        </is>
      </c>
      <c r="K8" t="n">
        <v>75</v>
      </c>
    </row>
    <row r="9">
      <c r="A9" s="5" t="inlineStr">
        <is>
          <t>Sergio</t>
        </is>
      </c>
      <c r="B9" s="5" t="n">
        <v>75</v>
      </c>
      <c r="J9" t="inlineStr">
        <is>
          <t>Sergio</t>
        </is>
      </c>
      <c r="K9" t="n">
        <v>75</v>
      </c>
    </row>
    <row r="10">
      <c r="A10" s="5" t="inlineStr">
        <is>
          <t>Marcelo</t>
        </is>
      </c>
      <c r="B10" s="5" t="n">
        <v>97</v>
      </c>
      <c r="J10" t="inlineStr">
        <is>
          <t>Marcelo</t>
        </is>
      </c>
      <c r="K10" t="n">
        <v>97</v>
      </c>
    </row>
    <row r="11">
      <c r="A11" s="5" t="inlineStr">
        <is>
          <t>Zé</t>
        </is>
      </c>
      <c r="B11" s="5" t="n">
        <v>78</v>
      </c>
      <c r="C11" s="1" t="inlineStr">
        <is>
          <t>ESTATÍSTICAS</t>
        </is>
      </c>
      <c r="J11" t="inlineStr">
        <is>
          <t>Zé</t>
        </is>
      </c>
      <c r="K11" t="n">
        <v>78</v>
      </c>
    </row>
    <row r="12">
      <c r="C12" s="8" t="inlineStr">
        <is>
          <t>Métrica</t>
        </is>
      </c>
      <c r="D12" s="8" t="inlineStr">
        <is>
          <t>Turno 1</t>
        </is>
      </c>
      <c r="E12" s="8" t="inlineStr">
        <is>
          <t>Turno 2</t>
        </is>
      </c>
      <c r="F12" s="8" t="inlineStr">
        <is>
          <t>Turno 3</t>
        </is>
      </c>
      <c r="G12" s="8" t="inlineStr">
        <is>
          <t>Média</t>
        </is>
      </c>
    </row>
    <row r="13">
      <c r="C13" s="5" t="inlineStr">
        <is>
          <t>Peso Total (kg)</t>
        </is>
      </c>
      <c r="D13" s="9">
        <f>IFERROR(VLOOKUP(D3,$J$3:$K$11,2,FALSE),0)+IFERROR(VLOOKUP(D4,$J$3:$K$11,2,FALSE),0)+IFERROR(VLOOKUP(D5,$J$3:$K$11,2,FALSE),0)+IFERROR(VLOOKUP(D6,$J$3:$K$11,2,FALSE),0)+IFERROR(VLOOKUP(D7,$J$3:$K$11,2,FALSE),0)+IFERROR(VLOOKUP(D8,$J$3:$K$11,2,FALSE),0)</f>
        <v/>
      </c>
      <c r="E13" s="9">
        <f>IFERROR(VLOOKUP(E3,$J$3:$K$11,2,FALSE),0)+IFERROR(VLOOKUP(E4,$J$3:$K$11,2,FALSE),0)+IFERROR(VLOOKUP(E5,$J$3:$K$11,2,FALSE),0)+IFERROR(VLOOKUP(E6,$J$3:$K$11,2,FALSE),0)+IFERROR(VLOOKUP(E7,$J$3:$K$11,2,FALSE),0)+IFERROR(VLOOKUP(E8,$J$3:$K$11,2,FALSE),0)</f>
        <v/>
      </c>
      <c r="F13" s="9">
        <f>IFERROR(VLOOKUP(F3,$J$3:$K$11,2,FALSE),0)+IFERROR(VLOOKUP(F4,$J$3:$K$11,2,FALSE),0)+IFERROR(VLOOKUP(F5,$J$3:$K$11,2,FALSE),0)+IFERROR(VLOOKUP(F6,$J$3:$K$11,2,FALSE),0)+IFERROR(VLOOKUP(F7,$J$3:$K$11,2,FALSE),0)+IFERROR(VLOOKUP(F8,$J$3:$K$11,2,FALSE),0)</f>
        <v/>
      </c>
      <c r="G13" s="5">
        <f>AVERAGE(D13:F13)</f>
        <v/>
      </c>
    </row>
    <row r="14">
      <c r="C14" s="5" t="inlineStr">
        <is>
          <t>Trim (kg-m)</t>
        </is>
      </c>
      <c r="D14" s="10">
        <f>IFERROR(VLOOKUP(D3,$J$3:$K$11,2,FALSE),0)*-2.5+IFERROR(VLOOKUP(D4,$J$3:$K$11,2,FALSE),0)*-1.5+IFERROR(VLOOKUP(D5,$J$3:$K$11,2,FALSE),0)*-0.5+IFERROR(VLOOKUP(D6,$J$3:$K$11,2,FALSE),0)*0.5+IFERROR(VLOOKUP(D7,$J$3:$K$11,2,FALSE),0)*1.5+IFERROR(VLOOKUP(D8,$J$3:$K$11,2,FALSE),0)*2.5</f>
        <v/>
      </c>
      <c r="E14" s="10">
        <f>IFERROR(VLOOKUP(E3,$J$3:$K$11,2,FALSE),0)*-2.5+IFERROR(VLOOKUP(E4,$J$3:$K$11,2,FALSE),0)*-1.5+IFERROR(VLOOKUP(E5,$J$3:$K$11,2,FALSE),0)*-0.5+IFERROR(VLOOKUP(E6,$J$3:$K$11,2,FALSE),0)*0.5+IFERROR(VLOOKUP(E7,$J$3:$K$11,2,FALSE),0)*1.5+IFERROR(VLOOKUP(E8,$J$3:$K$11,2,FALSE),0)*2.5</f>
        <v/>
      </c>
      <c r="F14" s="10">
        <f>IFERROR(VLOOKUP(F3,$J$3:$K$11,2,FALSE),0)*-2.5+IFERROR(VLOOKUP(F4,$J$3:$K$11,2,FALSE),0)*-1.5+IFERROR(VLOOKUP(F5,$J$3:$K$11,2,FALSE),0)*-0.5+IFERROR(VLOOKUP(F6,$J$3:$K$11,2,FALSE),0)*0.5+IFERROR(VLOOKUP(F7,$J$3:$K$11,2,FALSE),0)*1.5+IFERROR(VLOOKUP(F8,$J$3:$K$11,2,FALSE),0)*2.5</f>
        <v/>
      </c>
      <c r="G14" s="5">
        <f>AVERAGE(D14:F14)</f>
        <v/>
      </c>
    </row>
    <row r="15">
      <c r="C15" s="5" t="inlineStr">
        <is>
          <t>MOI (kg-m²)</t>
        </is>
      </c>
      <c r="D15" s="11">
        <f>IFERROR(VLOOKUP(D3,$J$3:$K$11,2,FALSE),0)*6.25+IFERROR(VLOOKUP(D4,$J$3:$K$11,2,FALSE),0)*2.25+IFERROR(VLOOKUP(D5,$J$3:$K$11,2,FALSE),0)*0.25+IFERROR(VLOOKUP(D6,$J$3:$K$11,2,FALSE),0)*0.25+IFERROR(VLOOKUP(D7,$J$3:$K$11,2,FALSE),0)*2.25+IFERROR(VLOOKUP(D8,$J$3:$K$11,2,FALSE),0)*6.25</f>
        <v/>
      </c>
      <c r="E15" s="11">
        <f>IFERROR(VLOOKUP(E3,$J$3:$K$11,2,FALSE),0)*6.25+IFERROR(VLOOKUP(E4,$J$3:$K$11,2,FALSE),0)*2.25+IFERROR(VLOOKUP(E5,$J$3:$K$11,2,FALSE),0)*0.25+IFERROR(VLOOKUP(E6,$J$3:$K$11,2,FALSE),0)*0.25+IFERROR(VLOOKUP(E7,$J$3:$K$11,2,FALSE),0)*2.25+IFERROR(VLOOKUP(E8,$J$3:$K$11,2,FALSE),0)*6.25</f>
        <v/>
      </c>
      <c r="F15" s="11">
        <f>IFERROR(VLOOKUP(F3,$J$3:$K$11,2,FALSE),0)*6.25+IFERROR(VLOOKUP(F4,$J$3:$K$11,2,FALSE),0)*2.25+IFERROR(VLOOKUP(F5,$J$3:$K$11,2,FALSE),0)*0.25+IFERROR(VLOOKUP(F6,$J$3:$K$11,2,FALSE),0)*0.25+IFERROR(VLOOKUP(F7,$J$3:$K$11,2,FALSE),0)*2.25+IFERROR(VLOOKUP(F8,$J$3:$K$11,2,FALSE),0)*6.25</f>
        <v/>
      </c>
      <c r="G15" s="5">
        <f>AVERAGE(D15:F15)</f>
        <v/>
      </c>
    </row>
    <row r="17">
      <c r="A17" s="12" t="inlineStr">
        <is>
          <t>Legenda:</t>
        </is>
      </c>
    </row>
    <row r="18">
      <c r="A18" t="inlineStr">
        <is>
          <t>• Trim: positivo = popa pesada, negativo = proa pesada</t>
        </is>
      </c>
    </row>
    <row r="19">
      <c r="A19" t="inlineStr">
        <is>
          <t>• MOI: menor = peso no centro (mais estável)</t>
        </is>
      </c>
    </row>
    <row r="20">
      <c r="A20" t="inlineStr">
        <is>
          <t>• Posições: Proa = -2.5m, Centro = 0m, Popa = +2.5m</t>
        </is>
      </c>
    </row>
  </sheetData>
  <mergeCells count="3">
    <mergeCell ref="C11:F11"/>
    <mergeCell ref="D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2026-01-17T21:57:14Z</dcterms:created>
  <dcterms:modified xsi:type="dcterms:W3CDTF">2026-01-17T21:57:14Z</dcterms:modified>
</cp:coreProperties>
</file>